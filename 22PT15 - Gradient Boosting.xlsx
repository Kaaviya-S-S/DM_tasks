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OtkPGoaWU/GeFo+aFF0l/Y3QXKNOdA4hT0NJcGCjwY="/>
    </ext>
  </extLst>
</workbook>
</file>

<file path=xl/sharedStrings.xml><?xml version="1.0" encoding="utf-8"?>
<sst xmlns="http://schemas.openxmlformats.org/spreadsheetml/2006/main" count="105" uniqueCount="23">
  <si>
    <t>Gradient Boosting</t>
  </si>
  <si>
    <t>X1</t>
  </si>
  <si>
    <t>X2</t>
  </si>
  <si>
    <t>Y</t>
  </si>
  <si>
    <t>Learning Rate</t>
  </si>
  <si>
    <t>ITERATION - 1</t>
  </si>
  <si>
    <t>Mean (Y)</t>
  </si>
  <si>
    <t>Y - Predicted Y</t>
  </si>
  <si>
    <t>Predicted Y</t>
  </si>
  <si>
    <t>Residual</t>
  </si>
  <si>
    <t>Tree 1 Pred</t>
  </si>
  <si>
    <t>TO FIND THE THRESHOLD VALUE OF THE ROOT NODE:</t>
  </si>
  <si>
    <t>Count</t>
  </si>
  <si>
    <t>MSE (Residual)</t>
  </si>
  <si>
    <t>Weighted MSE</t>
  </si>
  <si>
    <t>LTE</t>
  </si>
  <si>
    <t>GT</t>
  </si>
  <si>
    <t>ITERATION - 2</t>
  </si>
  <si>
    <t>Predicted Y = Predicted Y from iteration 1 + (Learning Rate * Tree 1 Pred)</t>
  </si>
  <si>
    <t>Tree 2 Pred</t>
  </si>
  <si>
    <t>ITERATION - 3</t>
  </si>
  <si>
    <t>Predicted Y = Predicted Y from iteration 1 + (Learning Rate * Tree 1 Pred) + (Learning Rate * Tree 2 Pred)</t>
  </si>
  <si>
    <t>Tree 3 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</si>
</sst>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7.0"/>
      <color theme="1"/>
      <name val="Arial"/>
    </font>
    <font>
      <b/>
      <sz val="10.0"/>
      <color rgb="FF0000FF"/>
      <name val="Arial"/>
    </font>
    <font>
      <sz val="10.0"/>
      <color rgb="FF0000FF"/>
      <name val="Arial"/>
    </font>
    <font>
      <b/>
      <color theme="1"/>
      <name val="Arial"/>
    </font>
    <font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right"/>
    </xf>
    <xf borderId="0" fillId="2" fontId="2" numFmtId="0" xfId="0" applyFont="1"/>
    <xf borderId="0" fillId="3" fontId="2" numFmtId="0" xfId="0" applyAlignment="1" applyFill="1" applyFont="1">
      <alignment horizontal="right"/>
    </xf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Font="1"/>
    <xf borderId="0" fillId="3" fontId="6" numFmtId="0" xfId="0" applyFont="1"/>
    <xf borderId="0" fillId="7" fontId="6" numFmtId="0" xfId="0" applyFill="1" applyFont="1"/>
    <xf borderId="0" fillId="8" fontId="2" numFmtId="0" xfId="0" applyFill="1" applyFont="1"/>
    <xf borderId="0" fillId="0" fontId="6" numFmtId="0" xfId="0" applyFont="1"/>
    <xf borderId="0" fillId="9" fontId="6" numFmtId="0" xfId="0" applyFill="1" applyFont="1"/>
    <xf borderId="0" fillId="10" fontId="2" numFmtId="0" xfId="0" applyAlignment="1" applyFill="1" applyFont="1">
      <alignment horizontal="left" vertical="center"/>
    </xf>
    <xf borderId="0" fillId="10" fontId="2" numFmtId="0" xfId="0" applyFont="1"/>
    <xf borderId="0" fillId="10" fontId="2" numFmtId="0" xfId="0" applyAlignment="1" applyFont="1">
      <alignment vertical="center"/>
    </xf>
    <xf borderId="0" fillId="11" fontId="2" numFmtId="0" xfId="0" applyAlignment="1" applyFill="1" applyFont="1">
      <alignment horizontal="left" vertical="center"/>
    </xf>
    <xf borderId="0" fillId="11" fontId="2" numFmtId="0" xfId="0" applyFont="1"/>
    <xf borderId="0" fillId="11" fontId="2" numFmtId="0" xfId="0" applyAlignment="1" applyFont="1">
      <alignment horizontal="right"/>
    </xf>
    <xf borderId="0" fillId="11" fontId="2" numFmtId="0" xfId="0" applyAlignment="1" applyFont="1">
      <alignment vertical="center"/>
    </xf>
    <xf borderId="0" fillId="0" fontId="7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695325</xdr:colOff>
      <xdr:row>11</xdr:row>
      <xdr:rowOff>180975</xdr:rowOff>
    </xdr:from>
    <xdr:ext cx="4219575" cy="1228725"/>
    <xdr:grpSp>
      <xdr:nvGrpSpPr>
        <xdr:cNvPr id="2" name="Shape 2" title="Drawing"/>
        <xdr:cNvGrpSpPr/>
      </xdr:nvGrpSpPr>
      <xdr:grpSpPr>
        <a:xfrm>
          <a:off x="3245738" y="3175163"/>
          <a:ext cx="4200533" cy="1209675"/>
          <a:chOff x="3245738" y="3175163"/>
          <a:chExt cx="4200533" cy="1209675"/>
        </a:xfrm>
      </xdr:grpSpPr>
      <xdr:grpSp>
        <xdr:nvGrpSpPr>
          <xdr:cNvPr id="3" name="Shape 3" title="Drawing"/>
          <xdr:cNvGrpSpPr/>
        </xdr:nvGrpSpPr>
        <xdr:grpSpPr>
          <a:xfrm>
            <a:off x="3245738" y="3175163"/>
            <a:ext cx="4200533" cy="1209675"/>
            <a:chOff x="796600" y="531600"/>
            <a:chExt cx="5111959" cy="1461300"/>
          </a:xfrm>
        </xdr:grpSpPr>
        <xdr:sp>
          <xdr:nvSpPr>
            <xdr:cNvPr id="4" name="Shape 4"/>
            <xdr:cNvSpPr/>
          </xdr:nvSpPr>
          <xdr:spPr>
            <a:xfrm>
              <a:off x="796600" y="531600"/>
              <a:ext cx="5111950" cy="1461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2208725" y="531600"/>
              <a:ext cx="1994100" cy="5214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796600" y="1471500"/>
              <a:ext cx="1994100" cy="5214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3914450" y="1471500"/>
              <a:ext cx="1994100" cy="5214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" name="Shape 8"/>
            <xdr:cNvCxnSpPr>
              <a:stCxn id="6" idx="0"/>
              <a:endCxn id="5" idx="2"/>
            </xdr:cNvCxnSpPr>
          </xdr:nvCxnSpPr>
          <xdr:spPr>
            <a:xfrm flipH="1" rot="10800000">
              <a:off x="1793650" y="1053000"/>
              <a:ext cx="1412100" cy="4185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cxnSp>
          <xdr:nvCxnSpPr>
            <xdr:cNvPr id="9" name="Shape 9"/>
            <xdr:cNvCxnSpPr>
              <a:stCxn id="5" idx="2"/>
              <a:endCxn id="7" idx="0"/>
            </xdr:cNvCxnSpPr>
          </xdr:nvCxnSpPr>
          <xdr:spPr>
            <a:xfrm>
              <a:off x="3205775" y="1053000"/>
              <a:ext cx="1705800" cy="4185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10" name="Shape 10"/>
            <xdr:cNvSpPr txBox="1"/>
          </xdr:nvSpPr>
          <xdr:spPr>
            <a:xfrm>
              <a:off x="2638241" y="582864"/>
              <a:ext cx="1276200" cy="37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X1 &lt;= 4.5</a:t>
              </a:r>
              <a:endParaRPr sz="14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970459" y="1537766"/>
              <a:ext cx="1705800" cy="37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000"/>
                <a:t>Avg Residual = -3.2</a:t>
              </a:r>
              <a:endParaRPr sz="10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4071959" y="1553289"/>
              <a:ext cx="1836600" cy="37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000"/>
                <a:t>Avg Residual = 2.133</a:t>
              </a:r>
              <a:endParaRPr sz="1000"/>
            </a:p>
          </xdr:txBody>
        </xdr:sp>
      </xdr:grpSp>
    </xdr:grpSp>
    <xdr:clientData fLocksWithSheet="0"/>
  </xdr:oneCellAnchor>
  <xdr:oneCellAnchor>
    <xdr:from>
      <xdr:col>7</xdr:col>
      <xdr:colOff>695325</xdr:colOff>
      <xdr:row>34</xdr:row>
      <xdr:rowOff>190500</xdr:rowOff>
    </xdr:from>
    <xdr:ext cx="4267200" cy="1228725"/>
    <xdr:grpSp>
      <xdr:nvGrpSpPr>
        <xdr:cNvPr id="2" name="Shape 2" title="Drawing"/>
        <xdr:cNvGrpSpPr/>
      </xdr:nvGrpSpPr>
      <xdr:grpSpPr>
        <a:xfrm>
          <a:off x="3245738" y="3175163"/>
          <a:ext cx="4247780" cy="1209675"/>
          <a:chOff x="3245738" y="3175163"/>
          <a:chExt cx="4247780" cy="1209675"/>
        </a:xfrm>
      </xdr:grpSpPr>
      <xdr:grpSp>
        <xdr:nvGrpSpPr>
          <xdr:cNvPr id="13" name="Shape 13" title="Drawing"/>
          <xdr:cNvGrpSpPr/>
        </xdr:nvGrpSpPr>
        <xdr:grpSpPr>
          <a:xfrm>
            <a:off x="3245738" y="3175163"/>
            <a:ext cx="4247780" cy="1209675"/>
            <a:chOff x="671650" y="742700"/>
            <a:chExt cx="4703246" cy="1370700"/>
          </a:xfrm>
        </xdr:grpSpPr>
        <xdr:sp>
          <xdr:nvSpPr>
            <xdr:cNvPr id="4" name="Shape 4"/>
            <xdr:cNvSpPr/>
          </xdr:nvSpPr>
          <xdr:spPr>
            <a:xfrm>
              <a:off x="671650" y="742700"/>
              <a:ext cx="4650925" cy="1370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" name="Shape 14"/>
            <xdr:cNvSpPr/>
          </xdr:nvSpPr>
          <xdr:spPr>
            <a:xfrm>
              <a:off x="2011650" y="742700"/>
              <a:ext cx="1707000" cy="5076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" name="Shape 15"/>
            <xdr:cNvSpPr/>
          </xdr:nvSpPr>
          <xdr:spPr>
            <a:xfrm>
              <a:off x="3615575" y="1605800"/>
              <a:ext cx="1707000" cy="5076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6" name="Shape 16"/>
            <xdr:cNvSpPr/>
          </xdr:nvSpPr>
          <xdr:spPr>
            <a:xfrm>
              <a:off x="671650" y="1605800"/>
              <a:ext cx="1661400" cy="5076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" name="Shape 17"/>
            <xdr:cNvCxnSpPr>
              <a:endCxn id="14" idx="2"/>
            </xdr:cNvCxnSpPr>
          </xdr:nvCxnSpPr>
          <xdr:spPr>
            <a:xfrm flipH="1" rot="10800000">
              <a:off x="1473450" y="1250300"/>
              <a:ext cx="1391700" cy="3552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cxnSp>
          <xdr:nvCxnSpPr>
            <xdr:cNvPr id="18" name="Shape 18"/>
            <xdr:cNvCxnSpPr>
              <a:stCxn id="15" idx="0"/>
              <a:endCxn id="14" idx="2"/>
            </xdr:cNvCxnSpPr>
          </xdr:nvCxnSpPr>
          <xdr:spPr>
            <a:xfrm rot="10800000">
              <a:off x="2865275" y="1250300"/>
              <a:ext cx="1603800" cy="3555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19" name="Shape 19"/>
            <xdr:cNvSpPr txBox="1"/>
          </xdr:nvSpPr>
          <xdr:spPr>
            <a:xfrm>
              <a:off x="2306798" y="803606"/>
              <a:ext cx="1076100" cy="294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300"/>
                <a:buFont typeface="Arial"/>
                <a:buNone/>
              </a:pPr>
              <a:r>
                <a:rPr lang="en-US" sz="1300"/>
                <a:t>X1 &lt;= 4.5</a:t>
              </a:r>
              <a:endParaRPr sz="1300"/>
            </a:p>
          </xdr:txBody>
        </xdr:sp>
        <xdr:sp>
          <xdr:nvSpPr>
            <xdr:cNvPr id="20" name="Shape 20"/>
            <xdr:cNvSpPr txBox="1"/>
          </xdr:nvSpPr>
          <xdr:spPr>
            <a:xfrm>
              <a:off x="698955" y="1682009"/>
              <a:ext cx="1661400" cy="355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rPr lang="en-US" sz="1000"/>
                <a:t>Avg Residual = -2.56</a:t>
              </a:r>
              <a:endParaRPr sz="10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3667896" y="1676598"/>
              <a:ext cx="1707000" cy="355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rPr lang="en-US" sz="1000"/>
                <a:t>Avg Residual = 1.7067</a:t>
              </a:r>
              <a:endParaRPr sz="1000"/>
            </a:p>
          </xdr:txBody>
        </xdr:sp>
      </xdr:grpSp>
    </xdr:grpSp>
    <xdr:clientData fLocksWithSheet="0"/>
  </xdr:oneCellAnchor>
  <xdr:oneCellAnchor>
    <xdr:from>
      <xdr:col>7</xdr:col>
      <xdr:colOff>695325</xdr:colOff>
      <xdr:row>57</xdr:row>
      <xdr:rowOff>161925</xdr:rowOff>
    </xdr:from>
    <xdr:ext cx="3781425" cy="1228725"/>
    <xdr:grpSp>
      <xdr:nvGrpSpPr>
        <xdr:cNvPr id="2" name="Shape 2" title="Drawing"/>
        <xdr:cNvGrpSpPr/>
      </xdr:nvGrpSpPr>
      <xdr:grpSpPr>
        <a:xfrm>
          <a:off x="3521963" y="3175163"/>
          <a:ext cx="3758430" cy="1209675"/>
          <a:chOff x="3521963" y="3175163"/>
          <a:chExt cx="3758430" cy="1209675"/>
        </a:xfrm>
      </xdr:grpSpPr>
      <xdr:grpSp>
        <xdr:nvGrpSpPr>
          <xdr:cNvPr id="22" name="Shape 22" title="Drawing"/>
          <xdr:cNvGrpSpPr/>
        </xdr:nvGrpSpPr>
        <xdr:grpSpPr>
          <a:xfrm>
            <a:off x="3521963" y="3175163"/>
            <a:ext cx="3758430" cy="1209675"/>
            <a:chOff x="822350" y="504250"/>
            <a:chExt cx="4373155" cy="1396025"/>
          </a:xfrm>
        </xdr:grpSpPr>
        <xdr:sp>
          <xdr:nvSpPr>
            <xdr:cNvPr id="4" name="Shape 4"/>
            <xdr:cNvSpPr/>
          </xdr:nvSpPr>
          <xdr:spPr>
            <a:xfrm>
              <a:off x="822350" y="504250"/>
              <a:ext cx="4244750" cy="1396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2165250" y="504250"/>
              <a:ext cx="1553400" cy="4467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4" name="Shape 24"/>
            <xdr:cNvSpPr/>
          </xdr:nvSpPr>
          <xdr:spPr>
            <a:xfrm>
              <a:off x="3250000" y="1453575"/>
              <a:ext cx="1817100" cy="4467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5" name="Shape 25"/>
            <xdr:cNvSpPr/>
          </xdr:nvSpPr>
          <xdr:spPr>
            <a:xfrm>
              <a:off x="822350" y="1453575"/>
              <a:ext cx="1676400" cy="446700"/>
            </a:xfrm>
            <a:prstGeom prst="rect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6" name="Shape 26"/>
            <xdr:cNvCxnSpPr>
              <a:endCxn id="23" idx="2"/>
            </xdr:cNvCxnSpPr>
          </xdr:nvCxnSpPr>
          <xdr:spPr>
            <a:xfrm flipH="1" rot="10800000">
              <a:off x="1697550" y="950950"/>
              <a:ext cx="1244400" cy="4974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cxnSp>
          <xdr:nvCxnSpPr>
            <xdr:cNvPr id="27" name="Shape 27"/>
            <xdr:cNvCxnSpPr>
              <a:stCxn id="24" idx="0"/>
              <a:endCxn id="23" idx="2"/>
            </xdr:cNvCxnSpPr>
          </xdr:nvCxnSpPr>
          <xdr:spPr>
            <a:xfrm rot="10800000">
              <a:off x="2942050" y="951075"/>
              <a:ext cx="1216500" cy="5025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28" name="Shape 28"/>
            <xdr:cNvSpPr txBox="1"/>
          </xdr:nvSpPr>
          <xdr:spPr>
            <a:xfrm>
              <a:off x="2417625" y="549850"/>
              <a:ext cx="1106400" cy="355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X1 &lt;= 4.5</a:t>
              </a:r>
              <a:endParaRPr sz="1200"/>
            </a:p>
          </xdr:txBody>
        </xdr:sp>
        <xdr:sp>
          <xdr:nvSpPr>
            <xdr:cNvPr id="29" name="Shape 29"/>
            <xdr:cNvSpPr txBox="1"/>
          </xdr:nvSpPr>
          <xdr:spPr>
            <a:xfrm>
              <a:off x="844202" y="1504050"/>
              <a:ext cx="1725600" cy="355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rPr lang="en-US" sz="1000"/>
                <a:t>Avg Residual = -2.048</a:t>
              </a:r>
              <a:endParaRPr sz="1000"/>
            </a:p>
          </xdr:txBody>
        </xdr:sp>
        <xdr:sp>
          <xdr:nvSpPr>
            <xdr:cNvPr id="30" name="Shape 30"/>
            <xdr:cNvSpPr txBox="1"/>
          </xdr:nvSpPr>
          <xdr:spPr>
            <a:xfrm>
              <a:off x="3309405" y="1517453"/>
              <a:ext cx="1886100" cy="355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rPr lang="en-US" sz="1000"/>
                <a:t>Avg Residual = 1.3654</a:t>
              </a:r>
              <a:endParaRPr sz="10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75"/>
    <col customWidth="1" min="3" max="3" width="9.13"/>
    <col customWidth="1" min="4" max="4" width="13.13"/>
    <col customWidth="1" min="5" max="6" width="12.63"/>
    <col customWidth="1" min="7" max="7" width="9.13"/>
    <col customWidth="1" min="8" max="8" width="9.5"/>
    <col customWidth="1" min="9" max="9" width="9.13"/>
    <col customWidth="1" min="10" max="10" width="14.0"/>
    <col customWidth="1" min="11" max="11" width="12.75"/>
  </cols>
  <sheetData>
    <row r="1" ht="15.7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</v>
      </c>
      <c r="B3" s="4" t="s">
        <v>2</v>
      </c>
      <c r="C3" s="4" t="s">
        <v>3</v>
      </c>
      <c r="E3" s="5" t="s">
        <v>4</v>
      </c>
    </row>
    <row r="4" ht="15.75" customHeight="1">
      <c r="A4" s="6">
        <v>2.0</v>
      </c>
      <c r="B4" s="6">
        <v>3.0</v>
      </c>
      <c r="C4" s="6">
        <v>7.0</v>
      </c>
      <c r="E4" s="7">
        <v>0.2</v>
      </c>
    </row>
    <row r="5" ht="15.75" customHeight="1">
      <c r="A5" s="6">
        <v>4.0</v>
      </c>
      <c r="B5" s="6">
        <v>5.0</v>
      </c>
      <c r="C5" s="6">
        <v>9.0</v>
      </c>
    </row>
    <row r="6" ht="15.75" customHeight="1">
      <c r="A6" s="6">
        <v>5.0</v>
      </c>
      <c r="B6" s="6">
        <v>5.0</v>
      </c>
      <c r="C6" s="6">
        <v>12.0</v>
      </c>
    </row>
    <row r="7" ht="15.75" customHeight="1">
      <c r="A7" s="6">
        <v>6.0</v>
      </c>
      <c r="B7" s="6">
        <v>7.0</v>
      </c>
      <c r="C7" s="6">
        <v>13.0</v>
      </c>
    </row>
    <row r="8" ht="15.75" customHeight="1">
      <c r="A8" s="6">
        <v>7.0</v>
      </c>
      <c r="B8" s="6">
        <v>9.0</v>
      </c>
      <c r="C8" s="6">
        <v>15.0</v>
      </c>
    </row>
    <row r="9" ht="15.75" customHeight="1">
      <c r="E9" s="8"/>
    </row>
    <row r="10" ht="15.75" customHeight="1">
      <c r="E10" s="8"/>
    </row>
    <row r="11" ht="15.75" customHeight="1">
      <c r="A11" s="9" t="s">
        <v>5</v>
      </c>
    </row>
    <row r="12" ht="15.75" customHeight="1">
      <c r="A12" s="10"/>
      <c r="D12" s="11" t="s">
        <v>6</v>
      </c>
      <c r="E12" s="11" t="s">
        <v>7</v>
      </c>
    </row>
    <row r="13" ht="15.75" customHeight="1">
      <c r="A13" s="12" t="s">
        <v>1</v>
      </c>
      <c r="B13" s="12" t="s">
        <v>2</v>
      </c>
      <c r="C13" s="12" t="s">
        <v>3</v>
      </c>
      <c r="D13" s="13" t="s">
        <v>8</v>
      </c>
      <c r="E13" s="13" t="s">
        <v>9</v>
      </c>
      <c r="F13" s="13" t="s">
        <v>10</v>
      </c>
    </row>
    <row r="14" ht="15.75" customHeight="1">
      <c r="A14" s="6">
        <v>2.0</v>
      </c>
      <c r="B14" s="6">
        <v>3.0</v>
      </c>
      <c r="C14" s="6">
        <v>7.0</v>
      </c>
      <c r="D14" s="14">
        <f>AVERAGE(C14:C18)</f>
        <v>11.2</v>
      </c>
      <c r="E14" s="14">
        <f t="shared" ref="E14:E18" si="1">C14-D14</f>
        <v>-4.2</v>
      </c>
      <c r="F14" s="14">
        <f t="shared" ref="F14:F18" si="2"> If(A14 &lt;= 4.5, -3.2, 2.133)</f>
        <v>-3.2</v>
      </c>
    </row>
    <row r="15" ht="15.75" customHeight="1">
      <c r="A15" s="6">
        <v>4.0</v>
      </c>
      <c r="B15" s="6">
        <v>5.0</v>
      </c>
      <c r="C15" s="6">
        <v>9.0</v>
      </c>
      <c r="D15" s="14">
        <f>AVERAGE(C14:C18)</f>
        <v>11.2</v>
      </c>
      <c r="E15" s="14">
        <f t="shared" si="1"/>
        <v>-2.2</v>
      </c>
      <c r="F15" s="14">
        <f t="shared" si="2"/>
        <v>-3.2</v>
      </c>
    </row>
    <row r="16" ht="15.75" customHeight="1">
      <c r="A16" s="6">
        <v>5.0</v>
      </c>
      <c r="B16" s="6">
        <v>5.0</v>
      </c>
      <c r="C16" s="6">
        <v>12.0</v>
      </c>
      <c r="D16" s="14">
        <f>AVERAGE(C14:C18)</f>
        <v>11.2</v>
      </c>
      <c r="E16" s="14">
        <f t="shared" si="1"/>
        <v>0.8</v>
      </c>
      <c r="F16" s="14">
        <f t="shared" si="2"/>
        <v>2.133</v>
      </c>
    </row>
    <row r="17" ht="15.75" customHeight="1">
      <c r="A17" s="6">
        <v>6.0</v>
      </c>
      <c r="B17" s="6">
        <v>7.0</v>
      </c>
      <c r="C17" s="6">
        <v>13.0</v>
      </c>
      <c r="D17" s="14">
        <f>AVERAGE(C14:C18)</f>
        <v>11.2</v>
      </c>
      <c r="E17" s="14">
        <f t="shared" si="1"/>
        <v>1.8</v>
      </c>
      <c r="F17" s="14">
        <f t="shared" si="2"/>
        <v>2.133</v>
      </c>
    </row>
    <row r="18" ht="15.75" customHeight="1">
      <c r="A18" s="6">
        <v>7.0</v>
      </c>
      <c r="B18" s="6">
        <v>9.0</v>
      </c>
      <c r="C18" s="6">
        <v>15.0</v>
      </c>
      <c r="D18" s="14">
        <f>AVERAGE(C14:C18)</f>
        <v>11.2</v>
      </c>
      <c r="E18" s="14">
        <f t="shared" si="1"/>
        <v>3.8</v>
      </c>
      <c r="F18" s="14">
        <f t="shared" si="2"/>
        <v>2.133</v>
      </c>
    </row>
    <row r="19" ht="15.75" customHeight="1"/>
    <row r="20" ht="15.75" customHeight="1">
      <c r="A20" s="15" t="s">
        <v>11</v>
      </c>
    </row>
    <row r="21" ht="15.75" customHeight="1"/>
    <row r="22" ht="15.75" customHeight="1">
      <c r="A22" s="16" t="s">
        <v>1</v>
      </c>
      <c r="B22" s="16"/>
      <c r="C22" s="16" t="s">
        <v>12</v>
      </c>
      <c r="D22" s="16" t="s">
        <v>13</v>
      </c>
      <c r="E22" s="16" t="s">
        <v>14</v>
      </c>
      <c r="G22" s="16" t="s">
        <v>2</v>
      </c>
      <c r="H22" s="16"/>
      <c r="I22" s="16" t="s">
        <v>12</v>
      </c>
      <c r="J22" s="16" t="s">
        <v>13</v>
      </c>
      <c r="K22" s="16" t="s">
        <v>14</v>
      </c>
    </row>
    <row r="23" ht="15.75" customHeight="1">
      <c r="A23" s="17">
        <v>3.0</v>
      </c>
      <c r="B23" s="18" t="s">
        <v>15</v>
      </c>
      <c r="C23" s="18">
        <v>1.0</v>
      </c>
      <c r="D23" s="18">
        <f> ((E14-AVERAGE(E14))^2) / C23</f>
        <v>0</v>
      </c>
      <c r="E23" s="19">
        <f>(C23/SUM(C23:C24))*D23 + (C24/SUM(C23:C24))*D24</f>
        <v>3.75</v>
      </c>
      <c r="G23" s="17">
        <v>4.0</v>
      </c>
      <c r="H23" s="18" t="s">
        <v>15</v>
      </c>
      <c r="I23" s="18">
        <v>1.0</v>
      </c>
      <c r="J23" s="18">
        <f> ((E14-AVERAGE(E14))^2) / I23</f>
        <v>0</v>
      </c>
      <c r="K23" s="18">
        <f>(I23/SUM(I23:I24))*J23 + (I24/SUM(I23:I24))*J24</f>
        <v>3.75</v>
      </c>
    </row>
    <row r="24" ht="15.75" customHeight="1">
      <c r="B24" s="18" t="s">
        <v>16</v>
      </c>
      <c r="C24" s="18">
        <v>4.0</v>
      </c>
      <c r="D24" s="18">
        <f> ((E15-AVERAGE(E15:E18))^2 + (E16-AVERAGE(E15:E18))^2 + (E17-AVERAGE(E15:E18))^2 + (E18-AVERAGE(E15:E18))^2) / C24</f>
        <v>4.6875</v>
      </c>
      <c r="H24" s="18" t="s">
        <v>16</v>
      </c>
      <c r="I24" s="18">
        <v>4.0</v>
      </c>
      <c r="J24" s="18">
        <f>((E15-AVERAGE(E15:E18))^2 + (E16-AVERAGE(E15:E18))^2 + (E17-AVERAGE(E15:E18))^2 + (E18-AVERAGE(E15:E18))^2) / I24</f>
        <v>4.6875</v>
      </c>
    </row>
    <row r="25" ht="15.75" customHeight="1">
      <c r="A25" s="20">
        <v>4.5</v>
      </c>
      <c r="B25" s="21" t="s">
        <v>15</v>
      </c>
      <c r="C25" s="21">
        <v>2.0</v>
      </c>
      <c r="D25" s="22">
        <f> ((E14-AVERAGE(E14:E15))^2 + (E15-AVERAGE(E14:E15))^2) / C25</f>
        <v>1</v>
      </c>
      <c r="E25" s="23">
        <f>(C25/SUM(C25:C26))*D25 + (C26/SUM(C25:C26))*D26</f>
        <v>1.333333333</v>
      </c>
      <c r="G25" s="17">
        <v>5.0</v>
      </c>
      <c r="H25" s="18" t="s">
        <v>15</v>
      </c>
      <c r="I25" s="18">
        <v>3.0</v>
      </c>
      <c r="J25" s="18">
        <f> ((E14-AVERAGE(E14:E16))^2  + (E15-AVERAGE(E14:E16))^2 + (E16-AVERAGE(E14:E16))^2) / I25</f>
        <v>4.222222222</v>
      </c>
      <c r="K25" s="18">
        <f>(I25/SUM(I25:I26))*J25 + (I26/SUM(I25:I26))*J26</f>
        <v>2.933333333</v>
      </c>
    </row>
    <row r="26" ht="15.75" customHeight="1">
      <c r="B26" s="21" t="s">
        <v>16</v>
      </c>
      <c r="C26" s="21">
        <v>3.0</v>
      </c>
      <c r="D26" s="21">
        <f> (((E16-AVERAGE(E16:E18))^2 + (E17-AVERAGE(E16:E18))^2 + (E18-AVERAGE(E16:E18))^2) / C26)</f>
        <v>1.555555556</v>
      </c>
      <c r="H26" s="18" t="s">
        <v>16</v>
      </c>
      <c r="I26" s="18">
        <v>2.0</v>
      </c>
      <c r="J26" s="18">
        <f>((E17-AVERAGE(E17:E18))^2  + (E18-AVERAGE(E17:E18))^2) / I26</f>
        <v>1</v>
      </c>
    </row>
    <row r="27" ht="15.75" customHeight="1">
      <c r="A27" s="17">
        <v>5.5</v>
      </c>
      <c r="B27" s="18" t="s">
        <v>15</v>
      </c>
      <c r="C27" s="18">
        <v>3.0</v>
      </c>
      <c r="D27" s="18">
        <f> ((E14-AVERAGE(E14:E16))^2  + (E15-AVERAGE(E14:E16))^2 + (E16-AVERAGE(E14:E16))^2) / C27</f>
        <v>4.222222222</v>
      </c>
      <c r="E27" s="19">
        <f>(C27/SUM(C27:C28))*D27 + (C28/SUM(C27:C28))*D28</f>
        <v>2.933333333</v>
      </c>
      <c r="G27" s="17">
        <v>6.0</v>
      </c>
      <c r="H27" s="18" t="s">
        <v>15</v>
      </c>
      <c r="I27" s="18">
        <v>3.0</v>
      </c>
      <c r="J27" s="18">
        <f> ((E14-AVERAGE(E14:E16))^2  + (E15-AVERAGE(E14:E16))^2 + (E16-AVERAGE(E14:E16))^2) / I27</f>
        <v>4.222222222</v>
      </c>
      <c r="K27" s="18">
        <f>(I27/SUM(I27:I28))*J27 + (I28/SUM(I27:I28))*J28</f>
        <v>2.933333333</v>
      </c>
    </row>
    <row r="28" ht="15.75" customHeight="1">
      <c r="B28" s="18" t="s">
        <v>16</v>
      </c>
      <c r="C28" s="18">
        <v>2.0</v>
      </c>
      <c r="D28" s="18">
        <f>((E17-AVERAGE(E17:E18))^2  + (E18-AVERAGE(E17:E18))^2) / C28</f>
        <v>1</v>
      </c>
      <c r="H28" s="18" t="s">
        <v>16</v>
      </c>
      <c r="I28" s="18">
        <v>2.0</v>
      </c>
      <c r="J28" s="18">
        <f>((E17-AVERAGE(E17:E18))^2  + (E18-AVERAGE(E17:E18))^2) / I28</f>
        <v>1</v>
      </c>
    </row>
    <row r="29" ht="15.75" customHeight="1">
      <c r="A29" s="17">
        <v>6.5</v>
      </c>
      <c r="B29" s="18" t="s">
        <v>15</v>
      </c>
      <c r="C29" s="18">
        <v>4.0</v>
      </c>
      <c r="D29" s="18">
        <f> ((E14-AVERAGE(E14:E17))^2 + (E15-AVERAGE(E14:E17))^2 + (E16-AVERAGE(E14:E17))^2 + (E17-AVERAGE(E14:E17))^2) / C29</f>
        <v>5.6875</v>
      </c>
      <c r="E29" s="19">
        <f>(C29/SUM(C29:C30))*D29 + (C30/SUM(C29:C30))*D30</f>
        <v>4.55</v>
      </c>
      <c r="G29" s="17">
        <v>8.0</v>
      </c>
      <c r="H29" s="18" t="s">
        <v>15</v>
      </c>
      <c r="I29" s="18">
        <v>4.0</v>
      </c>
      <c r="J29" s="18">
        <f> ((E14-AVERAGE(E14:E17))^2 + (E15-AVERAGE(E14:E17))^2 + (E16-AVERAGE(E14:E17))^2 + (E17-AVERAGE(E14:E17))^2) / I29</f>
        <v>5.6875</v>
      </c>
      <c r="K29" s="18">
        <f>(I29/SUM(I29:I30))*J29 + (I30/SUM(I29:I30))*J30</f>
        <v>4.55</v>
      </c>
    </row>
    <row r="30" ht="15.75" customHeight="1">
      <c r="B30" s="18" t="s">
        <v>16</v>
      </c>
      <c r="C30" s="18">
        <v>1.0</v>
      </c>
      <c r="D30" s="18">
        <f>((E18-AVERAGE(E18))^2) / C30</f>
        <v>0</v>
      </c>
      <c r="H30" s="18" t="s">
        <v>16</v>
      </c>
      <c r="I30" s="18">
        <v>1.0</v>
      </c>
      <c r="J30" s="18">
        <f>((E18-AVERAGE(E18))^2) / I30</f>
        <v>0</v>
      </c>
    </row>
    <row r="31" ht="15.75" customHeight="1"/>
    <row r="32" ht="15.75" customHeight="1"/>
    <row r="33" ht="15.75" customHeight="1"/>
    <row r="34" ht="15.75" customHeight="1">
      <c r="A34" s="9" t="s">
        <v>17</v>
      </c>
    </row>
    <row r="35" ht="17.25" customHeight="1">
      <c r="A35" s="24" t="s">
        <v>18</v>
      </c>
      <c r="D35" s="25"/>
    </row>
    <row r="36" ht="15.75" customHeight="1">
      <c r="A36" s="12" t="s">
        <v>1</v>
      </c>
      <c r="B36" s="12" t="s">
        <v>2</v>
      </c>
      <c r="C36" s="12" t="s">
        <v>3</v>
      </c>
      <c r="D36" s="13" t="s">
        <v>8</v>
      </c>
      <c r="E36" s="13" t="s">
        <v>9</v>
      </c>
      <c r="F36" s="13" t="s">
        <v>19</v>
      </c>
    </row>
    <row r="37" ht="15.75" customHeight="1">
      <c r="A37" s="6">
        <v>2.0</v>
      </c>
      <c r="B37" s="6">
        <v>3.0</v>
      </c>
      <c r="C37" s="6">
        <v>7.0</v>
      </c>
      <c r="D37" s="14">
        <f>D14+E4*F14</f>
        <v>10.56</v>
      </c>
      <c r="E37" s="14">
        <f t="shared" ref="E37:E41" si="3">C37-D37</f>
        <v>-3.56</v>
      </c>
      <c r="F37" s="14">
        <f t="shared" ref="F37:F41" si="4"> If(A37 &lt;= 4.5,-2.56, 1.7067)</f>
        <v>-2.56</v>
      </c>
    </row>
    <row r="38" ht="15.75" customHeight="1">
      <c r="A38" s="6">
        <v>4.0</v>
      </c>
      <c r="B38" s="6">
        <v>5.0</v>
      </c>
      <c r="C38" s="6">
        <v>9.0</v>
      </c>
      <c r="D38" s="14">
        <f>D15+E4*F15</f>
        <v>10.56</v>
      </c>
      <c r="E38" s="14">
        <f t="shared" si="3"/>
        <v>-1.56</v>
      </c>
      <c r="F38" s="14">
        <f t="shared" si="4"/>
        <v>-2.56</v>
      </c>
    </row>
    <row r="39" ht="15.75" customHeight="1">
      <c r="A39" s="6">
        <v>5.0</v>
      </c>
      <c r="B39" s="6">
        <v>5.0</v>
      </c>
      <c r="C39" s="6">
        <v>12.0</v>
      </c>
      <c r="D39" s="14">
        <f>D16+E4*F16</f>
        <v>11.6266</v>
      </c>
      <c r="E39" s="14">
        <f t="shared" si="3"/>
        <v>0.3734</v>
      </c>
      <c r="F39" s="14">
        <f t="shared" si="4"/>
        <v>1.7067</v>
      </c>
    </row>
    <row r="40" ht="15.75" customHeight="1">
      <c r="A40" s="6">
        <v>6.0</v>
      </c>
      <c r="B40" s="6">
        <v>7.0</v>
      </c>
      <c r="C40" s="6">
        <v>13.0</v>
      </c>
      <c r="D40" s="14">
        <f>D17+E4*F17</f>
        <v>11.6266</v>
      </c>
      <c r="E40" s="14">
        <f t="shared" si="3"/>
        <v>1.3734</v>
      </c>
      <c r="F40" s="14">
        <f t="shared" si="4"/>
        <v>1.7067</v>
      </c>
    </row>
    <row r="41" ht="15.75" customHeight="1">
      <c r="A41" s="6">
        <v>7.0</v>
      </c>
      <c r="B41" s="6">
        <v>9.0</v>
      </c>
      <c r="C41" s="6">
        <v>15.0</v>
      </c>
      <c r="D41" s="14">
        <f>D18+E4*F18</f>
        <v>11.6266</v>
      </c>
      <c r="E41" s="14">
        <f t="shared" si="3"/>
        <v>3.3734</v>
      </c>
      <c r="F41" s="14">
        <f t="shared" si="4"/>
        <v>1.7067</v>
      </c>
    </row>
    <row r="42" ht="15.75" customHeight="1"/>
    <row r="43" ht="15.75" customHeight="1">
      <c r="A43" s="15" t="s">
        <v>11</v>
      </c>
    </row>
    <row r="44" ht="15.75" customHeight="1"/>
    <row r="45" ht="15.75" customHeight="1">
      <c r="A45" s="16" t="s">
        <v>1</v>
      </c>
      <c r="B45" s="16"/>
      <c r="C45" s="16" t="s">
        <v>12</v>
      </c>
      <c r="D45" s="16" t="s">
        <v>13</v>
      </c>
      <c r="E45" s="16" t="s">
        <v>14</v>
      </c>
      <c r="G45" s="16" t="s">
        <v>2</v>
      </c>
      <c r="H45" s="16"/>
      <c r="I45" s="16" t="s">
        <v>12</v>
      </c>
      <c r="J45" s="16" t="s">
        <v>13</v>
      </c>
      <c r="K45" s="16" t="s">
        <v>14</v>
      </c>
    </row>
    <row r="46" ht="15.75" customHeight="1">
      <c r="A46" s="17">
        <v>3.0</v>
      </c>
      <c r="B46" s="18" t="s">
        <v>15</v>
      </c>
      <c r="C46" s="18">
        <v>1.0</v>
      </c>
      <c r="D46" s="18">
        <f> ((E37-AVERAGE(E37))^2) / C46</f>
        <v>0</v>
      </c>
      <c r="E46" s="19">
        <f>(C46/SUM(C46:C47))*D46 + (C47/SUM(C46:C47))*D47</f>
        <v>2.534065334</v>
      </c>
      <c r="G46" s="17">
        <v>4.0</v>
      </c>
      <c r="H46" s="18" t="s">
        <v>15</v>
      </c>
      <c r="I46" s="18">
        <v>1.0</v>
      </c>
      <c r="J46" s="18">
        <f> ((E37-AVERAGE(E37))^2) / I46</f>
        <v>0</v>
      </c>
      <c r="K46" s="18">
        <f>(I46/SUM(I46:I47))*J46 + (I47/SUM(I46:I47))*J47</f>
        <v>2.534065334</v>
      </c>
    </row>
    <row r="47" ht="15.75" customHeight="1">
      <c r="B47" s="18" t="s">
        <v>16</v>
      </c>
      <c r="C47" s="18">
        <v>4.0</v>
      </c>
      <c r="D47" s="18">
        <f> ((E38-AVERAGE(E38:E41))^2 + (E39-AVERAGE(E38:E41))^2 + (E40-AVERAGE(E38:E41))^2 + (E41-AVERAGE(E38:E41))^2) / C47</f>
        <v>3.167581668</v>
      </c>
      <c r="H47" s="18" t="s">
        <v>16</v>
      </c>
      <c r="I47" s="18">
        <v>4.0</v>
      </c>
      <c r="J47" s="18">
        <f>((E38-AVERAGE(E38:E41))^2 + (E39-AVERAGE(E38:E41))^2 + (E40-AVERAGE(E38:E41))^2 + (E41-AVERAGE(E38:E41))^2) / I47</f>
        <v>3.167581668</v>
      </c>
    </row>
    <row r="48" ht="15.75" customHeight="1">
      <c r="A48" s="20">
        <v>4.5</v>
      </c>
      <c r="B48" s="21" t="s">
        <v>15</v>
      </c>
      <c r="C48" s="21">
        <v>2.0</v>
      </c>
      <c r="D48" s="22">
        <f> ((E37-AVERAGE(E37:E38))^2 + (E38-AVERAGE(E37:E38))^2) / C48</f>
        <v>1</v>
      </c>
      <c r="E48" s="23">
        <f>(C48/SUM(C48:C49))*D48 + (C49/SUM(C48:C49))*D49</f>
        <v>1.333333333</v>
      </c>
      <c r="G48" s="17">
        <v>5.0</v>
      </c>
      <c r="H48" s="18" t="s">
        <v>15</v>
      </c>
      <c r="I48" s="18">
        <v>3.0</v>
      </c>
      <c r="J48" s="18">
        <f> ((E37-AVERAGE(E37:E39))^2  + (E38-AVERAGE(E37:E39))^2 + (E39-AVERAGE(E37:E39))^2) / I48</f>
        <v>2.578852347</v>
      </c>
      <c r="K48" s="18">
        <f>(I48/SUM(I48:I49))*J48 + (I49/SUM(I48:I49))*J49</f>
        <v>1.947311408</v>
      </c>
    </row>
    <row r="49" ht="15.75" customHeight="1">
      <c r="B49" s="21" t="s">
        <v>16</v>
      </c>
      <c r="C49" s="21">
        <v>3.0</v>
      </c>
      <c r="D49" s="21">
        <f> (((E39-AVERAGE(E39:E41))^2 + (E40-AVERAGE(E39:E41))^2 + (E41-AVERAGE(E39:E41))^2) / C49)</f>
        <v>1.555555556</v>
      </c>
      <c r="H49" s="18" t="s">
        <v>16</v>
      </c>
      <c r="I49" s="18">
        <v>2.0</v>
      </c>
      <c r="J49" s="18">
        <f>((E40-AVERAGE(E40:E41))^2  + (E41-AVERAGE(E40:E41))^2) / I49</f>
        <v>1</v>
      </c>
    </row>
    <row r="50" ht="15.75" customHeight="1">
      <c r="A50" s="17">
        <v>5.5</v>
      </c>
      <c r="B50" s="18" t="s">
        <v>15</v>
      </c>
      <c r="C50" s="18">
        <v>3.0</v>
      </c>
      <c r="D50" s="18">
        <f> ((E37-AVERAGE(E37:E39))^2  + (E38-AVERAGE(E37:E39))^2 + (E39-AVERAGE(E37:E39))^2) / C50</f>
        <v>2.578852347</v>
      </c>
      <c r="E50" s="19">
        <f>(C50/SUM(C50:C51))*D50 + (C51/SUM(C50:C51))*D51</f>
        <v>1.947311408</v>
      </c>
      <c r="G50" s="17">
        <v>6.0</v>
      </c>
      <c r="H50" s="18" t="s">
        <v>15</v>
      </c>
      <c r="I50" s="18">
        <v>3.0</v>
      </c>
      <c r="J50" s="18">
        <f> ((E37-AVERAGE(E37:E39))^2  + (E38-AVERAGE(E37:E39))^2 + (E39-AVERAGE(E37:E39))^2) / I50</f>
        <v>2.578852347</v>
      </c>
      <c r="K50" s="18">
        <f>(I50/SUM(I50:I51))*J50 + (I51/SUM(I50:I51))*J51</f>
        <v>1.947311408</v>
      </c>
    </row>
    <row r="51" ht="15.75" customHeight="1">
      <c r="B51" s="18" t="s">
        <v>16</v>
      </c>
      <c r="C51" s="18">
        <v>2.0</v>
      </c>
      <c r="D51" s="18">
        <f>((E40-AVERAGE(E40:E41))^2  + (E41-AVERAGE(E40:E41))^2) / C51</f>
        <v>1</v>
      </c>
      <c r="H51" s="18" t="s">
        <v>16</v>
      </c>
      <c r="I51" s="18">
        <v>2.0</v>
      </c>
      <c r="J51" s="18">
        <f>((E40-AVERAGE(E40:E41))^2  + (E41-AVERAGE(E40:E41))^2) / I51</f>
        <v>1</v>
      </c>
    </row>
    <row r="52" ht="15.75" customHeight="1">
      <c r="A52" s="17">
        <v>6.5</v>
      </c>
      <c r="B52" s="18" t="s">
        <v>15</v>
      </c>
      <c r="C52" s="18">
        <v>4.0</v>
      </c>
      <c r="D52" s="18">
        <f> ((E37-AVERAGE(E37:E40))^2 + (E38-AVERAGE(E37:E40))^2 + (E39-AVERAGE(E37:E40))^2 + (E40-AVERAGE(E37:E40))^2) / C52</f>
        <v>3.57205889</v>
      </c>
      <c r="E52" s="19">
        <f>(C52/SUM(C52:C53))*D52 + (C53/SUM(C52:C53))*D53</f>
        <v>2.857647112</v>
      </c>
      <c r="G52" s="17">
        <v>8.0</v>
      </c>
      <c r="H52" s="18" t="s">
        <v>15</v>
      </c>
      <c r="I52" s="18">
        <v>4.0</v>
      </c>
      <c r="J52" s="18">
        <f> ((E37-AVERAGE(E37:E40))^2 + (E38-AVERAGE(E37:E40))^2 + (E39-AVERAGE(E37:E40))^2 + (E40-AVERAGE(E37:E40))^2) / I52</f>
        <v>3.57205889</v>
      </c>
      <c r="K52" s="18">
        <f>(I52/SUM(I52:I53))*J52 + (I53/SUM(I52:I53))*J53</f>
        <v>2.857647112</v>
      </c>
    </row>
    <row r="53" ht="15.75" customHeight="1">
      <c r="B53" s="18" t="s">
        <v>16</v>
      </c>
      <c r="C53" s="18">
        <v>1.0</v>
      </c>
      <c r="D53" s="18">
        <f>((E41-AVERAGE(E41))^2) / C53</f>
        <v>0</v>
      </c>
      <c r="H53" s="18" t="s">
        <v>16</v>
      </c>
      <c r="I53" s="18">
        <v>1.0</v>
      </c>
      <c r="J53" s="18">
        <f>((E41-AVERAGE(E41))^2) / I53</f>
        <v>0</v>
      </c>
    </row>
    <row r="54" ht="15.75" customHeight="1"/>
    <row r="55" ht="15.75" customHeight="1"/>
    <row r="56" ht="15.75" customHeight="1"/>
    <row r="57" ht="15.75" customHeight="1">
      <c r="A57" s="9" t="s">
        <v>20</v>
      </c>
    </row>
    <row r="58" ht="15.75" customHeight="1">
      <c r="A58" s="24" t="s">
        <v>21</v>
      </c>
      <c r="D58" s="25"/>
    </row>
    <row r="59" ht="15.75" customHeight="1">
      <c r="A59" s="12" t="s">
        <v>1</v>
      </c>
      <c r="B59" s="12" t="s">
        <v>2</v>
      </c>
      <c r="C59" s="12" t="s">
        <v>3</v>
      </c>
      <c r="D59" s="13" t="s">
        <v>8</v>
      </c>
      <c r="E59" s="13" t="s">
        <v>9</v>
      </c>
      <c r="F59" s="13" t="s">
        <v>22</v>
      </c>
    </row>
    <row r="60" ht="15.75" customHeight="1">
      <c r="A60" s="6">
        <v>2.0</v>
      </c>
      <c r="B60" s="6">
        <v>3.0</v>
      </c>
      <c r="C60" s="6">
        <v>7.0</v>
      </c>
      <c r="D60" s="14">
        <f>D14 + E4*F14 + E4*F37</f>
        <v>10.048</v>
      </c>
      <c r="E60" s="14">
        <f t="shared" ref="E60:E64" si="5">C60-D60</f>
        <v>-3.048</v>
      </c>
      <c r="F60" s="14">
        <f t="shared" ref="F60:F64" si="6"> If(A60 &lt;= 4.5,-2.56, 1.7067)</f>
        <v>-2.56</v>
      </c>
    </row>
    <row r="61" ht="15.75" customHeight="1">
      <c r="A61" s="6">
        <v>4.0</v>
      </c>
      <c r="B61" s="6">
        <v>5.0</v>
      </c>
      <c r="C61" s="6">
        <v>9.0</v>
      </c>
      <c r="D61" s="14">
        <f>D15 + E4*F15 + E4*F38</f>
        <v>10.048</v>
      </c>
      <c r="E61" s="14">
        <f t="shared" si="5"/>
        <v>-1.048</v>
      </c>
      <c r="F61" s="14">
        <f t="shared" si="6"/>
        <v>-2.56</v>
      </c>
    </row>
    <row r="62" ht="15.75" customHeight="1">
      <c r="A62" s="6">
        <v>5.0</v>
      </c>
      <c r="B62" s="6">
        <v>5.0</v>
      </c>
      <c r="C62" s="6">
        <v>12.0</v>
      </c>
      <c r="D62" s="14">
        <f>D16 + E4*F16 + E4*F39</f>
        <v>11.96794</v>
      </c>
      <c r="E62" s="14">
        <f t="shared" si="5"/>
        <v>0.03206</v>
      </c>
      <c r="F62" s="14">
        <f t="shared" si="6"/>
        <v>1.7067</v>
      </c>
    </row>
    <row r="63" ht="15.75" customHeight="1">
      <c r="A63" s="6">
        <v>6.0</v>
      </c>
      <c r="B63" s="6">
        <v>7.0</v>
      </c>
      <c r="C63" s="6">
        <v>13.0</v>
      </c>
      <c r="D63" s="14">
        <f>D17 + E4*F17 + E4*F40</f>
        <v>11.96794</v>
      </c>
      <c r="E63" s="14">
        <f t="shared" si="5"/>
        <v>1.03206</v>
      </c>
      <c r="F63" s="14">
        <f t="shared" si="6"/>
        <v>1.7067</v>
      </c>
    </row>
    <row r="64" ht="15.75" customHeight="1">
      <c r="A64" s="6">
        <v>7.0</v>
      </c>
      <c r="B64" s="6">
        <v>9.0</v>
      </c>
      <c r="C64" s="6">
        <v>15.0</v>
      </c>
      <c r="D64" s="14">
        <f>D18 + E4*F18 + E4*F41</f>
        <v>11.96794</v>
      </c>
      <c r="E64" s="14">
        <f t="shared" si="5"/>
        <v>3.03206</v>
      </c>
      <c r="F64" s="14">
        <f t="shared" si="6"/>
        <v>1.7067</v>
      </c>
    </row>
    <row r="65" ht="15.75" customHeight="1"/>
    <row r="66" ht="15.75" customHeight="1">
      <c r="A66" s="15" t="s">
        <v>11</v>
      </c>
    </row>
    <row r="67" ht="15.75" customHeight="1"/>
    <row r="68" ht="15.75" customHeight="1">
      <c r="A68" s="16" t="s">
        <v>1</v>
      </c>
      <c r="B68" s="16"/>
      <c r="C68" s="16" t="s">
        <v>12</v>
      </c>
      <c r="D68" s="16" t="s">
        <v>13</v>
      </c>
      <c r="E68" s="16" t="s">
        <v>14</v>
      </c>
      <c r="G68" s="16" t="s">
        <v>2</v>
      </c>
      <c r="H68" s="16"/>
      <c r="I68" s="16" t="s">
        <v>12</v>
      </c>
      <c r="J68" s="16" t="s">
        <v>13</v>
      </c>
      <c r="K68" s="16" t="s">
        <v>14</v>
      </c>
    </row>
    <row r="69" ht="15.75" customHeight="1">
      <c r="A69" s="17">
        <v>3.0</v>
      </c>
      <c r="B69" s="18" t="s">
        <v>15</v>
      </c>
      <c r="C69" s="18">
        <v>1.0</v>
      </c>
      <c r="D69" s="18">
        <f> ((E60-AVERAGE(E60))^2) / C69</f>
        <v>0</v>
      </c>
      <c r="E69" s="19">
        <f>(C69/SUM(C69:C70))*D69 + (C70/SUM(C69:C70))*D70</f>
        <v>1.807003441</v>
      </c>
      <c r="G69" s="17">
        <v>4.0</v>
      </c>
      <c r="H69" s="18" t="s">
        <v>15</v>
      </c>
      <c r="I69" s="18">
        <v>1.0</v>
      </c>
      <c r="J69" s="18">
        <f> ((E60-AVERAGE(E60))^2) / I69</f>
        <v>0</v>
      </c>
      <c r="K69" s="18">
        <f>(I69/SUM(I69:I70))*J69 + (I70/SUM(I69:I70))*J70</f>
        <v>1.807003441</v>
      </c>
    </row>
    <row r="70" ht="15.75" customHeight="1">
      <c r="B70" s="18" t="s">
        <v>16</v>
      </c>
      <c r="C70" s="18">
        <v>4.0</v>
      </c>
      <c r="D70" s="18">
        <f> ((E61-AVERAGE(E61:E64))^2 + (E62-AVERAGE(E61:E64))^2 + (E63-AVERAGE(E61:E64))^2 + (E64-AVERAGE(E61:E64))^2) / C70</f>
        <v>2.258754301</v>
      </c>
      <c r="H70" s="18" t="s">
        <v>16</v>
      </c>
      <c r="I70" s="18">
        <v>4.0</v>
      </c>
      <c r="J70" s="18">
        <f>((E61-AVERAGE(E61:E64))^2 + (E62-AVERAGE(E61:E64))^2 + (E63-AVERAGE(E61:E64))^2 + (E64-AVERAGE(E61:E64))^2) / I70</f>
        <v>2.258754301</v>
      </c>
    </row>
    <row r="71" ht="15.75" customHeight="1">
      <c r="A71" s="20">
        <v>4.5</v>
      </c>
      <c r="B71" s="21" t="s">
        <v>15</v>
      </c>
      <c r="C71" s="21">
        <v>2.0</v>
      </c>
      <c r="D71" s="22">
        <f> ((E60-AVERAGE(E60:E61))^2 + (E61-AVERAGE(E60:E61))^2) / C71</f>
        <v>1</v>
      </c>
      <c r="E71" s="23">
        <f>(C71/SUM(C71:C72))*D71 + (C72/SUM(C71:C72))*D72</f>
        <v>1.333333333</v>
      </c>
      <c r="G71" s="17">
        <v>5.0</v>
      </c>
      <c r="H71" s="18" t="s">
        <v>15</v>
      </c>
      <c r="I71" s="18">
        <v>3.0</v>
      </c>
      <c r="J71" s="18">
        <f> ((E60-AVERAGE(E60:E62))^2  + (E61-AVERAGE(E60:E62))^2 + (E62-AVERAGE(E60:E62))^2) / I71</f>
        <v>1.628144356</v>
      </c>
      <c r="K71" s="18">
        <f>(I71/SUM(I71:I72))*J71 + (I72/SUM(I71:I72))*J72</f>
        <v>1.376886614</v>
      </c>
    </row>
    <row r="72" ht="15.75" customHeight="1">
      <c r="B72" s="21" t="s">
        <v>16</v>
      </c>
      <c r="C72" s="21">
        <v>3.0</v>
      </c>
      <c r="D72" s="21">
        <f> (((E62-AVERAGE(E62:E64))^2 + (E63-AVERAGE(E62:E64))^2 + (E64-AVERAGE(E62:E64))^2) / C72)</f>
        <v>1.555555556</v>
      </c>
      <c r="H72" s="18" t="s">
        <v>16</v>
      </c>
      <c r="I72" s="18">
        <v>2.0</v>
      </c>
      <c r="J72" s="18">
        <f>((E63-AVERAGE(E63:E64))^2  + (E64-AVERAGE(E63:E64))^2) / I72</f>
        <v>1</v>
      </c>
    </row>
    <row r="73" ht="15.75" customHeight="1">
      <c r="A73" s="17">
        <v>5.5</v>
      </c>
      <c r="B73" s="18" t="s">
        <v>15</v>
      </c>
      <c r="C73" s="18">
        <v>3.0</v>
      </c>
      <c r="D73" s="18">
        <f> ((E60-AVERAGE(E60:E62))^2  + (E61-AVERAGE(E60:E62))^2 + (E62-AVERAGE(E60:E62))^2) / C73</f>
        <v>1.628144356</v>
      </c>
      <c r="E73" s="19">
        <f>(C73/SUM(C73:C74))*D73 + (C74/SUM(C73:C74))*D74</f>
        <v>1.376886614</v>
      </c>
      <c r="G73" s="17">
        <v>6.0</v>
      </c>
      <c r="H73" s="18" t="s">
        <v>15</v>
      </c>
      <c r="I73" s="18">
        <v>3.0</v>
      </c>
      <c r="J73" s="18">
        <f> ((E60-AVERAGE(E60:E62))^2  + (E61-AVERAGE(E60:E62))^2 + (E62-AVERAGE(E60:E62))^2) / I73</f>
        <v>1.628144356</v>
      </c>
      <c r="K73" s="18">
        <f>(I73/SUM(I73:I74))*J73 + (I74/SUM(I73:I74))*J74</f>
        <v>1.376886614</v>
      </c>
    </row>
    <row r="74" ht="15.75" customHeight="1">
      <c r="B74" s="18" t="s">
        <v>16</v>
      </c>
      <c r="C74" s="18">
        <v>2.0</v>
      </c>
      <c r="D74" s="18">
        <f>((E63-AVERAGE(E63:E64))^2  + (E64-AVERAGE(E63:E64))^2) / C74</f>
        <v>1</v>
      </c>
      <c r="H74" s="18" t="s">
        <v>16</v>
      </c>
      <c r="I74" s="18">
        <v>2.0</v>
      </c>
      <c r="J74" s="18">
        <f>((E63-AVERAGE(E63:E64))^2  + (E64-AVERAGE(E63:E64))^2) / I74</f>
        <v>1</v>
      </c>
    </row>
    <row r="75" ht="15.75" customHeight="1">
      <c r="A75" s="17">
        <v>6.5</v>
      </c>
      <c r="B75" s="18" t="s">
        <v>15</v>
      </c>
      <c r="C75" s="18">
        <v>4.0</v>
      </c>
      <c r="D75" s="18">
        <f> ((E60-AVERAGE(E60:E63))^2 + (E61-AVERAGE(E60:E63))^2 + (E62-AVERAGE(E60:E63))^2 + (E63-AVERAGE(E60:E63))^2) / C75</f>
        <v>2.289177401</v>
      </c>
      <c r="E75" s="19">
        <f>(C75/SUM(C75:C76))*D75 + (C76/SUM(C75:C76))*D76</f>
        <v>1.831341921</v>
      </c>
      <c r="G75" s="17">
        <v>8.0</v>
      </c>
      <c r="H75" s="18" t="s">
        <v>15</v>
      </c>
      <c r="I75" s="18">
        <v>4.0</v>
      </c>
      <c r="J75" s="18">
        <f> ((E60-AVERAGE(E60:E63))^2 + (E61-AVERAGE(E60:E63))^2 + (E62-AVERAGE(E60:E63))^2 + (E63-AVERAGE(E60:E63))^2) / I75</f>
        <v>2.289177401</v>
      </c>
      <c r="K75" s="18">
        <f>(I75/SUM(I75:I76))*J75 + (I76/SUM(I75:I76))*J76</f>
        <v>1.831341921</v>
      </c>
    </row>
    <row r="76" ht="15.75" customHeight="1">
      <c r="B76" s="18" t="s">
        <v>16</v>
      </c>
      <c r="C76" s="18">
        <v>1.0</v>
      </c>
      <c r="D76" s="18">
        <f>((E64-AVERAGE(E64))^2) / C76</f>
        <v>0</v>
      </c>
      <c r="H76" s="18" t="s">
        <v>16</v>
      </c>
      <c r="I76" s="18">
        <v>1.0</v>
      </c>
      <c r="J76" s="18">
        <f>((E64-AVERAGE(E64))^2) / I76</f>
        <v>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69:A70"/>
    <mergeCell ref="E69:E70"/>
    <mergeCell ref="G69:G70"/>
    <mergeCell ref="K69:K70"/>
    <mergeCell ref="E71:E72"/>
    <mergeCell ref="G71:G72"/>
    <mergeCell ref="K71:K72"/>
    <mergeCell ref="A71:A72"/>
    <mergeCell ref="A73:A74"/>
    <mergeCell ref="E73:E74"/>
    <mergeCell ref="G73:G74"/>
    <mergeCell ref="A75:A76"/>
    <mergeCell ref="E75:E76"/>
    <mergeCell ref="G75:G76"/>
    <mergeCell ref="A23:A24"/>
    <mergeCell ref="E23:E24"/>
    <mergeCell ref="G23:G24"/>
    <mergeCell ref="K23:K24"/>
    <mergeCell ref="E25:E26"/>
    <mergeCell ref="G25:G26"/>
    <mergeCell ref="K25:K26"/>
    <mergeCell ref="K27:K28"/>
    <mergeCell ref="K29:K30"/>
    <mergeCell ref="A25:A26"/>
    <mergeCell ref="A27:A28"/>
    <mergeCell ref="E27:E28"/>
    <mergeCell ref="G27:G28"/>
    <mergeCell ref="A29:A30"/>
    <mergeCell ref="E29:E30"/>
    <mergeCell ref="G29:G30"/>
    <mergeCell ref="A46:A47"/>
    <mergeCell ref="E46:E47"/>
    <mergeCell ref="G46:G47"/>
    <mergeCell ref="K46:K47"/>
    <mergeCell ref="E48:E49"/>
    <mergeCell ref="G48:G49"/>
    <mergeCell ref="K48:K49"/>
    <mergeCell ref="K50:K51"/>
    <mergeCell ref="K52:K53"/>
    <mergeCell ref="A48:A49"/>
    <mergeCell ref="A50:A51"/>
    <mergeCell ref="E50:E51"/>
    <mergeCell ref="G50:G51"/>
    <mergeCell ref="A52:A53"/>
    <mergeCell ref="E52:E53"/>
    <mergeCell ref="G52:G53"/>
    <mergeCell ref="K73:K74"/>
    <mergeCell ref="K75:K76"/>
  </mergeCell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